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Orçamento" sheetId="2" state="visible" r:id="rId2"/>
    <sheet name="Erros, Omissões e Melhor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 €"/>
    <numFmt numFmtId="165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i val="1"/>
      <color rgb="001F3F44"/>
      <sz val="9"/>
    </font>
    <font>
      <name val="Calibri"/>
      <b val="1"/>
      <i val="1"/>
      <color rgb="00FFFFFF"/>
      <sz val="9"/>
    </font>
    <font>
      <name val="Calibri"/>
      <color rgb="001F3F44"/>
      <sz val="9"/>
    </font>
    <font>
      <name val="Calibri"/>
      <b val="1"/>
      <color rgb="00FFFFFF"/>
      <sz val="12"/>
    </font>
    <font>
      <name val="Calibri"/>
      <color rgb="001F3F44"/>
      <sz val="10"/>
    </font>
    <font>
      <name val="Calibri"/>
      <b val="1"/>
      <color rgb="0000545F"/>
      <sz val="10"/>
    </font>
    <font>
      <name val="Calibri"/>
      <b val="1"/>
      <color rgb="001F3F44"/>
      <sz val="11"/>
    </font>
    <font>
      <name val="Calibri"/>
      <b val="1"/>
      <color rgb="00FFFFFF"/>
      <sz val="13"/>
    </font>
    <font>
      <name val="Calibri"/>
      <i val="1"/>
      <color rgb="001F3F44"/>
      <sz val="8"/>
    </font>
    <font>
      <name val="Calibri"/>
      <b val="1"/>
      <color rgb="00FFFFFF"/>
      <sz val="15"/>
    </font>
    <font>
      <name val="Calibri"/>
      <b val="1"/>
      <color rgb="001F3F44"/>
      <sz val="10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3F44"/>
      </patternFill>
    </fill>
    <fill>
      <patternFill patternType="solid">
        <fgColor rgb="0000545F"/>
      </patternFill>
    </fill>
    <fill>
      <patternFill patternType="solid">
        <fgColor rgb="00D9DEDE"/>
      </patternFill>
    </fill>
    <fill>
      <patternFill patternType="solid">
        <fgColor rgb="00C2410C"/>
      </patternFill>
    </fill>
  </fills>
  <borders count="2">
    <border>
      <left/>
      <right/>
      <top/>
      <bottom/>
      <diagonal/>
    </border>
    <border>
      <left style="thin">
        <color rgb="00B9C2C2"/>
      </left>
      <right style="thin">
        <color rgb="00B9C2C2"/>
      </right>
      <top style="thin">
        <color rgb="00B9C2C2"/>
      </top>
      <bottom style="thin">
        <color rgb="00B9C2C2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applyAlignment="1" pivotButton="0" quotePrefix="0" xfId="0">
      <alignment horizontal="right" vertical="center"/>
    </xf>
    <xf numFmtId="0" fontId="0" fillId="2" borderId="1" pivotButton="0" quotePrefix="0" xfId="0"/>
    <xf numFmtId="0" fontId="14" fillId="2" borderId="1" applyAlignment="1" pivotButton="0" quotePrefix="0" xfId="0">
      <alignment horizontal="right" vertical="center"/>
    </xf>
    <xf numFmtId="164" fontId="14" fillId="2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4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 indent="1"/>
    </xf>
    <xf numFmtId="164" fontId="6" fillId="2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 indent="1"/>
    </xf>
    <xf numFmtId="0" fontId="0" fillId="0" borderId="1" pivotButton="0" quotePrefix="0" xfId="0"/>
    <xf numFmtId="165" fontId="8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right" vertical="center" indent="1"/>
    </xf>
    <xf numFmtId="0" fontId="0" fillId="4" borderId="1" pivotButton="0" quotePrefix="0" xfId="0"/>
    <xf numFmtId="164" fontId="9" fillId="4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right" vertical="center" indent="1"/>
    </xf>
    <xf numFmtId="164" fontId="10" fillId="2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top" wrapText="1"/>
    </xf>
    <xf numFmtId="0" fontId="15" fillId="5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4" fillId="3" borderId="1" applyAlignment="1" pivotButton="0" quotePrefix="0" xfId="0">
      <alignment horizontal="left" vertical="center" indent="1"/>
    </xf>
    <xf numFmtId="0" fontId="1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right" vertical="top"/>
    </xf>
    <xf numFmtId="0" fontId="2" fillId="5" borderId="1" applyAlignment="1" pivotButton="0" quotePrefix="0" xfId="0">
      <alignment horizontal="right" vertical="center"/>
    </xf>
    <xf numFmtId="0" fontId="0" fillId="5" borderId="1" pivotButton="0" quotePrefix="0" xfId="0"/>
    <xf numFmtId="164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20" customWidth="1" min="3" max="3"/>
  </cols>
  <sheetData>
    <row r="1" ht="28" customHeight="1">
      <c r="A1" s="1" t="inlineStr">
        <is>
          <t>RESUMO POR CAPÍTULO</t>
        </is>
      </c>
    </row>
    <row r="2">
      <c r="A2" s="2" t="inlineStr">
        <is>
          <t>Apartamento Contestável — Renovação | Maximinos, Braga</t>
        </is>
      </c>
    </row>
    <row r="4">
      <c r="A4" s="3" t="inlineStr">
        <is>
          <t>Cap.</t>
        </is>
      </c>
      <c r="B4" s="3" t="inlineStr">
        <is>
          <t>Designação</t>
        </is>
      </c>
      <c r="C4" s="3" t="inlineStr">
        <is>
          <t>Valor (s/IVA)</t>
        </is>
      </c>
    </row>
    <row r="5" ht="20" customHeight="1">
      <c r="A5" s="4" t="inlineStr">
        <is>
          <t>1</t>
        </is>
      </c>
      <c r="B5" s="5" t="inlineStr">
        <is>
          <t>DEMOLIÇÕES E TRABALHOS PREPARATÓRIOS</t>
        </is>
      </c>
      <c r="C5" s="6">
        <f>Orçamento!F6</f>
        <v/>
      </c>
    </row>
    <row r="6" ht="20" customHeight="1">
      <c r="A6" s="4" t="inlineStr">
        <is>
          <t>2</t>
        </is>
      </c>
      <c r="B6" s="5" t="inlineStr">
        <is>
          <t>TETOS FALSOS — GESSO CARTONADO</t>
        </is>
      </c>
      <c r="C6" s="6">
        <f>Orçamento!F12</f>
        <v/>
      </c>
    </row>
    <row r="7" ht="20" customHeight="1">
      <c r="A7" s="4" t="inlineStr">
        <is>
          <t>3</t>
        </is>
      </c>
      <c r="B7" s="5" t="inlineStr">
        <is>
          <t>PAVIMENTOS</t>
        </is>
      </c>
      <c r="C7" s="6">
        <f>Orçamento!F16</f>
        <v/>
      </c>
    </row>
    <row r="8" ht="20" customHeight="1">
      <c r="A8" s="4" t="inlineStr">
        <is>
          <t>4</t>
        </is>
      </c>
      <c r="B8" s="5" t="inlineStr">
        <is>
          <t>REVESTIMENTOS DE PAREDES</t>
        </is>
      </c>
      <c r="C8" s="6">
        <f>Orçamento!F20</f>
        <v/>
      </c>
    </row>
    <row r="9" ht="20" customHeight="1">
      <c r="A9" s="4" t="inlineStr">
        <is>
          <t>5</t>
        </is>
      </c>
      <c r="B9" s="5" t="inlineStr">
        <is>
          <t>COZINHA</t>
        </is>
      </c>
      <c r="C9" s="6">
        <f>Orçamento!F23</f>
        <v/>
      </c>
    </row>
    <row r="10" ht="20" customHeight="1">
      <c r="A10" s="4" t="inlineStr">
        <is>
          <t>6</t>
        </is>
      </c>
      <c r="B10" s="5" t="inlineStr">
        <is>
          <t>PORTAS INTERIORES</t>
        </is>
      </c>
      <c r="C10" s="6">
        <f>Orçamento!F27</f>
        <v/>
      </c>
    </row>
    <row r="11" ht="20" customHeight="1">
      <c r="A11" s="4" t="inlineStr">
        <is>
          <t>7</t>
        </is>
      </c>
      <c r="B11" s="5" t="inlineStr">
        <is>
          <t>INSTALAÇÕES SANITÁRIAS — LOUÇAS E EQUIPAMENTO</t>
        </is>
      </c>
      <c r="C11" s="6">
        <f>Orçamento!F31</f>
        <v/>
      </c>
    </row>
    <row r="12" ht="20" customHeight="1">
      <c r="A12" s="4" t="inlineStr">
        <is>
          <t>8</t>
        </is>
      </c>
      <c r="B12" s="5" t="inlineStr">
        <is>
          <t>PINTURA</t>
        </is>
      </c>
      <c r="C12" s="6">
        <f>Orçamento!F40</f>
        <v/>
      </c>
    </row>
    <row r="13" ht="20" customHeight="1">
      <c r="A13" s="4" t="inlineStr">
        <is>
          <t>9</t>
        </is>
      </c>
      <c r="B13" s="5" t="inlineStr">
        <is>
          <t>ARMÁRIOS E MÓVEIS POR MEDIDA</t>
        </is>
      </c>
      <c r="C13" s="6">
        <f>Orçamento!F42</f>
        <v/>
      </c>
    </row>
    <row r="14" ht="20" customHeight="1">
      <c r="A14" s="4" t="inlineStr">
        <is>
          <t>10</t>
        </is>
      </c>
      <c r="B14" s="5" t="inlineStr">
        <is>
          <t>INSTALAÇÃO ELÉTRICA E ILUMINAÇÃO</t>
        </is>
      </c>
      <c r="C14" s="6">
        <f>Orçamento!F46</f>
        <v/>
      </c>
    </row>
    <row r="15" ht="20" customHeight="1">
      <c r="A15" s="4" t="inlineStr">
        <is>
          <t>11</t>
        </is>
      </c>
      <c r="B15" s="5" t="inlineStr">
        <is>
          <t>CARPINTARIA</t>
        </is>
      </c>
      <c r="C15" s="6">
        <f>Orçamento!F49</f>
        <v/>
      </c>
    </row>
    <row r="16" ht="20" customHeight="1">
      <c r="A16" s="4" t="inlineStr">
        <is>
          <t>12</t>
        </is>
      </c>
      <c r="B16" s="5" t="inlineStr">
        <is>
          <t>SERRALHARIA</t>
        </is>
      </c>
      <c r="C16" s="6">
        <f>Orçamento!F51</f>
        <v/>
      </c>
    </row>
    <row r="17" ht="24" customHeight="1">
      <c r="A17" s="7" t="n"/>
      <c r="B17" s="8" t="inlineStr">
        <is>
          <t>VALOR GLOBAL LÍQUIDO DA OBRA</t>
        </is>
      </c>
      <c r="C17" s="9">
        <f>SUM(C5:C16)</f>
        <v/>
      </c>
    </row>
    <row r="19">
      <c r="A19" s="10" t="inlineStr">
        <is>
          <t>Ver folha «Orçamento» para imprevistos, margem, IVA e total geral. Ver folha «Erros, Omissões e Melhorias» para trabalhos não contemplados.</t>
        </is>
      </c>
    </row>
  </sheetData>
  <mergeCells count="3">
    <mergeCell ref="A1:C1"/>
    <mergeCell ref="A19:C19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2" customWidth="1" min="3" max="3"/>
    <col width="8" customWidth="1" min="4" max="4"/>
    <col width="16" customWidth="1" min="5" max="5"/>
    <col width="18" customWidth="1" min="6" max="6"/>
  </cols>
  <sheetData>
    <row r="1" ht="30" customHeight="1">
      <c r="A1" s="11" t="inlineStr">
        <is>
          <t>ORÇAMENTO DE OBRA DE RENOVAÇÃO</t>
        </is>
      </c>
    </row>
    <row r="2" ht="20" customHeight="1">
      <c r="A2" s="2" t="inlineStr">
        <is>
          <t>Apartamento Contestável — Praça do Contestável, n.º 117, 8.º Piso, 4700-215 Maximinos, Braga</t>
        </is>
      </c>
    </row>
    <row r="3" ht="18" customHeight="1">
      <c r="A3" s="12" t="inlineStr">
        <is>
          <t>Cliente: Rosário Calado   |   Projeto de Arquitetura: Diogo Barbosa, Arq.to   |   Data: junho 2026</t>
        </is>
      </c>
    </row>
    <row r="5" ht="22" customHeight="1">
      <c r="A5" s="3" t="inlineStr">
        <is>
          <t>Ref.</t>
        </is>
      </c>
      <c r="B5" s="3" t="inlineStr">
        <is>
          <t>Descrição dos Trabalhos</t>
        </is>
      </c>
      <c r="C5" s="3" t="inlineStr">
        <is>
          <t>Qtd.</t>
        </is>
      </c>
      <c r="D5" s="3" t="inlineStr">
        <is>
          <t>Un.</t>
        </is>
      </c>
      <c r="E5" s="3" t="inlineStr">
        <is>
          <t>Preço Unit.</t>
        </is>
      </c>
      <c r="F5" s="3" t="inlineStr">
        <is>
          <t>Total</t>
        </is>
      </c>
    </row>
    <row r="6" ht="20" customHeight="1">
      <c r="A6" s="13" t="inlineStr">
        <is>
          <t>1. DEMOLIÇÕES E TRABALHOS PREPARATÓRIOS</t>
        </is>
      </c>
      <c r="B6" s="14" t="n"/>
      <c r="C6" s="14" t="n"/>
      <c r="D6" s="14" t="n"/>
      <c r="E6" s="15" t="inlineStr">
        <is>
          <t>Subtotal</t>
        </is>
      </c>
      <c r="F6" s="16">
        <f>SUM(F7:F11)</f>
        <v/>
      </c>
    </row>
    <row r="7" ht="28" customHeight="1">
      <c r="A7" s="17" t="inlineStr">
        <is>
          <t>1.1</t>
        </is>
      </c>
      <c r="B7" s="18" t="inlineStr">
        <is>
          <t>Demolição de paredes interiores em alvenaria + remoção de entulho</t>
        </is>
      </c>
      <c r="C7" s="17" t="n">
        <v>35</v>
      </c>
      <c r="D7" s="17" t="inlineStr">
        <is>
          <t>m²</t>
        </is>
      </c>
      <c r="E7" s="19" t="n">
        <v>18</v>
      </c>
      <c r="F7" s="19">
        <f>C7*E7</f>
        <v/>
      </c>
    </row>
    <row r="8" ht="28" customHeight="1">
      <c r="A8" s="17" t="inlineStr">
        <is>
          <t>1.2</t>
        </is>
      </c>
      <c r="B8" s="18" t="inlineStr">
        <is>
          <t>Preparação e regularização de paramentos após demolições</t>
        </is>
      </c>
      <c r="C8" s="17" t="n">
        <v>1</v>
      </c>
      <c r="D8" s="17" t="inlineStr">
        <is>
          <t>vg</t>
        </is>
      </c>
      <c r="E8" s="19" t="n">
        <v>350</v>
      </c>
      <c r="F8" s="19">
        <f>C8*E8</f>
        <v/>
      </c>
    </row>
    <row r="9" ht="28" customHeight="1">
      <c r="A9" s="17" t="inlineStr">
        <is>
          <t>1.3</t>
        </is>
      </c>
      <c r="B9" s="18" t="inlineStr">
        <is>
          <t>Remoção do pavimento existente + remoção do entulho</t>
        </is>
      </c>
      <c r="C9" s="17" t="n">
        <v>100</v>
      </c>
      <c r="D9" s="17" t="inlineStr">
        <is>
          <t>m²</t>
        </is>
      </c>
      <c r="E9" s="19" t="n">
        <v>12</v>
      </c>
      <c r="F9" s="19">
        <f>C9*E9</f>
        <v/>
      </c>
    </row>
    <row r="10" ht="28" customHeight="1">
      <c r="A10" s="17" t="inlineStr">
        <is>
          <t>1.4</t>
        </is>
      </c>
      <c r="B10" s="18" t="inlineStr">
        <is>
          <t>Regularização do pavimento com betonilha autonivelante</t>
        </is>
      </c>
      <c r="C10" s="17" t="n">
        <v>100</v>
      </c>
      <c r="D10" s="17" t="inlineStr">
        <is>
          <t>m²</t>
        </is>
      </c>
      <c r="E10" s="19" t="n">
        <v>14</v>
      </c>
      <c r="F10" s="19">
        <f>C10*E10</f>
        <v/>
      </c>
    </row>
    <row r="11" ht="28" customHeight="1">
      <c r="A11" s="17" t="inlineStr">
        <is>
          <t>1.5</t>
        </is>
      </c>
      <c r="B11" s="18" t="inlineStr">
        <is>
          <t>Remoção dos rodapés existentes</t>
        </is>
      </c>
      <c r="C11" s="17" t="n">
        <v>300</v>
      </c>
      <c r="D11" s="17" t="inlineStr">
        <is>
          <t>ml</t>
        </is>
      </c>
      <c r="E11" s="19" t="n">
        <v>2.5</v>
      </c>
      <c r="F11" s="19">
        <f>C11*E11</f>
        <v/>
      </c>
    </row>
    <row r="12" ht="20" customHeight="1">
      <c r="A12" s="13" t="inlineStr">
        <is>
          <t>2. TETOS FALSOS — GESSO CARTONADO</t>
        </is>
      </c>
      <c r="B12" s="14" t="n"/>
      <c r="C12" s="14" t="n"/>
      <c r="D12" s="14" t="n"/>
      <c r="E12" s="15" t="inlineStr">
        <is>
          <t>Subtotal</t>
        </is>
      </c>
      <c r="F12" s="16">
        <f>SUM(F13:F15)</f>
        <v/>
      </c>
    </row>
    <row r="13" ht="28" customHeight="1">
      <c r="A13" s="17" t="inlineStr">
        <is>
          <t>2.1</t>
        </is>
      </c>
      <c r="B13" s="18" t="inlineStr">
        <is>
          <t>Estrutura metálica para teto falso + sancas (pronto a barrar)</t>
        </is>
      </c>
      <c r="C13" s="17" t="n">
        <v>100</v>
      </c>
      <c r="D13" s="17" t="inlineStr">
        <is>
          <t>m²</t>
        </is>
      </c>
      <c r="E13" s="19" t="n">
        <v>14</v>
      </c>
      <c r="F13" s="19">
        <f>C13*E13</f>
        <v/>
      </c>
    </row>
    <row r="14" ht="28" customHeight="1">
      <c r="A14" s="17" t="inlineStr">
        <is>
          <t>2.2</t>
        </is>
      </c>
      <c r="B14" s="18" t="inlineStr">
        <is>
          <t>Placa de gesso cartonado standard + emassamento (pronto a pintar)</t>
        </is>
      </c>
      <c r="C14" s="17" t="n">
        <v>80</v>
      </c>
      <c r="D14" s="17" t="inlineStr">
        <is>
          <t>m²</t>
        </is>
      </c>
      <c r="E14" s="19" t="n">
        <v>16</v>
      </c>
      <c r="F14" s="19">
        <f>C14*E14</f>
        <v/>
      </c>
    </row>
    <row r="15" ht="28" customHeight="1">
      <c r="A15" s="17" t="inlineStr">
        <is>
          <t>2.3</t>
        </is>
      </c>
      <c r="B15" s="18" t="inlineStr">
        <is>
          <t>Placa de gesso cartonado hidrófugo + emassamento (zonas húmidas)</t>
        </is>
      </c>
      <c r="C15" s="17" t="n">
        <v>20</v>
      </c>
      <c r="D15" s="17" t="inlineStr">
        <is>
          <t>m²</t>
        </is>
      </c>
      <c r="E15" s="19" t="n">
        <v>20</v>
      </c>
      <c r="F15" s="19">
        <f>C15*E15</f>
        <v/>
      </c>
    </row>
    <row r="16" ht="20" customHeight="1">
      <c r="A16" s="13" t="inlineStr">
        <is>
          <t>3. PAVIMENTOS</t>
        </is>
      </c>
      <c r="B16" s="14" t="n"/>
      <c r="C16" s="14" t="n"/>
      <c r="D16" s="14" t="n"/>
      <c r="E16" s="15" t="inlineStr">
        <is>
          <t>Subtotal</t>
        </is>
      </c>
      <c r="F16" s="16">
        <f>SUM(F17:F19)</f>
        <v/>
      </c>
    </row>
    <row r="17" ht="28" customHeight="1">
      <c r="A17" s="17" t="inlineStr">
        <is>
          <t>3.1</t>
        </is>
      </c>
      <c r="B17" s="18" t="inlineStr">
        <is>
          <t>Pavimento flutuante AC5 ou equivalente, incl. aplicação e base</t>
        </is>
      </c>
      <c r="C17" s="17" t="n">
        <v>85</v>
      </c>
      <c r="D17" s="17" t="inlineStr">
        <is>
          <t>m²</t>
        </is>
      </c>
      <c r="E17" s="19" t="n">
        <v>28</v>
      </c>
      <c r="F17" s="19">
        <f>C17*E17</f>
        <v/>
      </c>
    </row>
    <row r="18" ht="28" customHeight="1">
      <c r="A18" s="17" t="inlineStr">
        <is>
          <t>3.2</t>
        </is>
      </c>
      <c r="B18" s="18" t="inlineStr">
        <is>
          <t>Microcimento em pavimento de Instalações Sanitárias</t>
        </is>
      </c>
      <c r="C18" s="17" t="n">
        <v>10</v>
      </c>
      <c r="D18" s="17" t="inlineStr">
        <is>
          <t>m²</t>
        </is>
      </c>
      <c r="E18" s="19" t="n">
        <v>60</v>
      </c>
      <c r="F18" s="19">
        <f>C18*E18</f>
        <v/>
      </c>
    </row>
    <row r="19" ht="28" customHeight="1">
      <c r="A19" s="17" t="inlineStr">
        <is>
          <t>3.3</t>
        </is>
      </c>
      <c r="B19" s="18" t="inlineStr">
        <is>
          <t>Pavimento cerâmico (a definir) — fornecimento e assentamento</t>
        </is>
      </c>
      <c r="C19" s="17" t="n">
        <v>5</v>
      </c>
      <c r="D19" s="17" t="inlineStr">
        <is>
          <t>m²</t>
        </is>
      </c>
      <c r="E19" s="19" t="n">
        <v>45</v>
      </c>
      <c r="F19" s="19">
        <f>C19*E19</f>
        <v/>
      </c>
    </row>
    <row r="20" ht="20" customHeight="1">
      <c r="A20" s="13" t="inlineStr">
        <is>
          <t>4. REVESTIMENTOS DE PAREDES</t>
        </is>
      </c>
      <c r="B20" s="14" t="n"/>
      <c r="C20" s="14" t="n"/>
      <c r="D20" s="14" t="n"/>
      <c r="E20" s="15" t="inlineStr">
        <is>
          <t>Subtotal</t>
        </is>
      </c>
      <c r="F20" s="16">
        <f>SUM(F21:F22)</f>
        <v/>
      </c>
    </row>
    <row r="21" ht="28" customHeight="1">
      <c r="A21" s="17" t="inlineStr">
        <is>
          <t>4.1</t>
        </is>
      </c>
      <c r="B21" s="18" t="inlineStr">
        <is>
          <t>Microcimento em paredes de Instalações Sanitárias</t>
        </is>
      </c>
      <c r="C21" s="17" t="n">
        <v>50</v>
      </c>
      <c r="D21" s="17" t="inlineStr">
        <is>
          <t>m²</t>
        </is>
      </c>
      <c r="E21" s="19" t="n">
        <v>55</v>
      </c>
      <c r="F21" s="19">
        <f>C21*E21</f>
        <v/>
      </c>
    </row>
    <row r="22" ht="28" customHeight="1">
      <c r="A22" s="17" t="inlineStr">
        <is>
          <t>4.2</t>
        </is>
      </c>
      <c r="B22" s="18" t="inlineStr">
        <is>
          <t>Apainelados decorativos no Hall de entrada + Circulação</t>
        </is>
      </c>
      <c r="C22" s="17" t="n">
        <v>15</v>
      </c>
      <c r="D22" s="17" t="inlineStr">
        <is>
          <t>m²</t>
        </is>
      </c>
      <c r="E22" s="19" t="n">
        <v>90</v>
      </c>
      <c r="F22" s="19">
        <f>C22*E22</f>
        <v/>
      </c>
    </row>
    <row r="23" ht="20" customHeight="1">
      <c r="A23" s="13" t="inlineStr">
        <is>
          <t>5. COZINHA</t>
        </is>
      </c>
      <c r="B23" s="14" t="n"/>
      <c r="C23" s="14" t="n"/>
      <c r="D23" s="14" t="n"/>
      <c r="E23" s="15" t="inlineStr">
        <is>
          <t>Subtotal</t>
        </is>
      </c>
      <c r="F23" s="16">
        <f>SUM(F24:F26)</f>
        <v/>
      </c>
    </row>
    <row r="24" ht="28" customHeight="1">
      <c r="A24" s="17" t="inlineStr">
        <is>
          <t>5.1</t>
        </is>
      </c>
      <c r="B24" s="18" t="inlineStr">
        <is>
          <t>Móveis cozinha (inf.+sup.) lacados branco/bege, puxador oculto, 4,20 ml x 2,20 m</t>
        </is>
      </c>
      <c r="C24" s="17" t="n">
        <v>4.2</v>
      </c>
      <c r="D24" s="17" t="inlineStr">
        <is>
          <t>ml</t>
        </is>
      </c>
      <c r="E24" s="19" t="n">
        <v>950</v>
      </c>
      <c r="F24" s="19">
        <f>C24*E24</f>
        <v/>
      </c>
    </row>
    <row r="25" ht="28" customHeight="1">
      <c r="A25" s="17" t="inlineStr">
        <is>
          <t>5.2</t>
        </is>
      </c>
      <c r="B25" s="18" t="inlineStr">
        <is>
          <t>Móvel ilha de cozinha (1,80 x 0,60 m)</t>
        </is>
      </c>
      <c r="C25" s="17" t="n">
        <v>1</v>
      </c>
      <c r="D25" s="17" t="inlineStr">
        <is>
          <t>un</t>
        </is>
      </c>
      <c r="E25" s="19" t="n">
        <v>1800</v>
      </c>
      <c r="F25" s="19">
        <f>C25*E25</f>
        <v/>
      </c>
    </row>
    <row r="26" ht="28" customHeight="1">
      <c r="A26" s="17" t="inlineStr">
        <is>
          <t>5.3</t>
        </is>
      </c>
      <c r="B26" s="18" t="inlineStr">
        <is>
          <t>Bancada em silestone/dekton ou equivalente</t>
        </is>
      </c>
      <c r="C26" s="17" t="n">
        <v>7.5</v>
      </c>
      <c r="D26" s="17" t="inlineStr">
        <is>
          <t>m²</t>
        </is>
      </c>
      <c r="E26" s="19" t="n">
        <v>320</v>
      </c>
      <c r="F26" s="19">
        <f>C26*E26</f>
        <v/>
      </c>
    </row>
    <row r="27" ht="20" customHeight="1">
      <c r="A27" s="13" t="inlineStr">
        <is>
          <t>6. PORTAS INTERIORES</t>
        </is>
      </c>
      <c r="B27" s="14" t="n"/>
      <c r="C27" s="14" t="n"/>
      <c r="D27" s="14" t="n"/>
      <c r="E27" s="15" t="inlineStr">
        <is>
          <t>Subtotal</t>
        </is>
      </c>
      <c r="F27" s="16">
        <f>SUM(F28:F30)</f>
        <v/>
      </c>
    </row>
    <row r="28" ht="28" customHeight="1">
      <c r="A28" s="17" t="inlineStr">
        <is>
          <t>6.1</t>
        </is>
      </c>
      <c r="B28" s="18" t="inlineStr">
        <is>
          <t>Porta interior lacada branco/bege 0,80 x 2,20 m (fornecimento)</t>
        </is>
      </c>
      <c r="C28" s="17" t="n">
        <v>4</v>
      </c>
      <c r="D28" s="17" t="inlineStr">
        <is>
          <t>un</t>
        </is>
      </c>
      <c r="E28" s="19" t="n">
        <v>280</v>
      </c>
      <c r="F28" s="19">
        <f>C28*E28</f>
        <v/>
      </c>
    </row>
    <row r="29" ht="28" customHeight="1">
      <c r="A29" s="17" t="inlineStr">
        <is>
          <t>6.2</t>
        </is>
      </c>
      <c r="B29" s="18" t="inlineStr">
        <is>
          <t>Instalação, ferragens e acabamentos de portas</t>
        </is>
      </c>
      <c r="C29" s="17" t="n">
        <v>5</v>
      </c>
      <c r="D29" s="17" t="inlineStr">
        <is>
          <t>un</t>
        </is>
      </c>
      <c r="E29" s="19" t="n">
        <v>120</v>
      </c>
      <c r="F29" s="19">
        <f>C29*E29</f>
        <v/>
      </c>
    </row>
    <row r="30" ht="28" customHeight="1">
      <c r="A30" s="17" t="inlineStr">
        <is>
          <t>6.3</t>
        </is>
      </c>
      <c r="B30" s="18" t="inlineStr">
        <is>
          <t>Porta interior pivotante lacada branco/bege 1,10 x 2,20 m</t>
        </is>
      </c>
      <c r="C30" s="17" t="n">
        <v>1</v>
      </c>
      <c r="D30" s="17" t="inlineStr">
        <is>
          <t>un</t>
        </is>
      </c>
      <c r="E30" s="19" t="n">
        <v>750</v>
      </c>
      <c r="F30" s="19">
        <f>C30*E30</f>
        <v/>
      </c>
    </row>
    <row r="31" ht="20" customHeight="1">
      <c r="A31" s="13" t="inlineStr">
        <is>
          <t>7. INSTALAÇÕES SANITÁRIAS — LOUÇAS E EQUIPAMENTO</t>
        </is>
      </c>
      <c r="B31" s="14" t="n"/>
      <c r="C31" s="14" t="n"/>
      <c r="D31" s="14" t="n"/>
      <c r="E31" s="15" t="inlineStr">
        <is>
          <t>Subtotal</t>
        </is>
      </c>
      <c r="F31" s="16">
        <f>SUM(F32:F39)</f>
        <v/>
      </c>
    </row>
    <row r="32" ht="28" customHeight="1">
      <c r="A32" s="17" t="inlineStr">
        <is>
          <t>7.1</t>
        </is>
      </c>
      <c r="B32" s="18" t="inlineStr">
        <is>
          <t>Base de duche WC1 (0,70 x 0,70 m)</t>
        </is>
      </c>
      <c r="C32" s="17" t="n">
        <v>1</v>
      </c>
      <c r="D32" s="17" t="inlineStr">
        <is>
          <t>un</t>
        </is>
      </c>
      <c r="E32" s="19" t="n">
        <v>180</v>
      </c>
      <c r="F32" s="19">
        <f>C32*E32</f>
        <v/>
      </c>
    </row>
    <row r="33" ht="28" customHeight="1">
      <c r="A33" s="17" t="inlineStr">
        <is>
          <t>7.2</t>
        </is>
      </c>
      <c r="B33" s="18" t="inlineStr">
        <is>
          <t>Base de duche WC2 (0,80 x 1,80 m)</t>
        </is>
      </c>
      <c r="C33" s="17" t="n">
        <v>1</v>
      </c>
      <c r="D33" s="17" t="inlineStr">
        <is>
          <t>un</t>
        </is>
      </c>
      <c r="E33" s="19" t="n">
        <v>320</v>
      </c>
      <c r="F33" s="19">
        <f>C33*E33</f>
        <v/>
      </c>
    </row>
    <row r="34" ht="28" customHeight="1">
      <c r="A34" s="17" t="inlineStr">
        <is>
          <t>7.3</t>
        </is>
      </c>
      <c r="B34" s="18" t="inlineStr">
        <is>
          <t>Sanita de pousar</t>
        </is>
      </c>
      <c r="C34" s="17" t="n">
        <v>2</v>
      </c>
      <c r="D34" s="17" t="inlineStr">
        <is>
          <t>un</t>
        </is>
      </c>
      <c r="E34" s="19" t="n">
        <v>250</v>
      </c>
      <c r="F34" s="19">
        <f>C34*E34</f>
        <v/>
      </c>
    </row>
    <row r="35" ht="28" customHeight="1">
      <c r="A35" s="17" t="inlineStr">
        <is>
          <t>7.4</t>
        </is>
      </c>
      <c r="B35" s="18" t="inlineStr">
        <is>
          <t>Lavatório</t>
        </is>
      </c>
      <c r="C35" s="17" t="n">
        <v>2</v>
      </c>
      <c r="D35" s="17" t="inlineStr">
        <is>
          <t>un</t>
        </is>
      </c>
      <c r="E35" s="19" t="n">
        <v>180</v>
      </c>
      <c r="F35" s="19">
        <f>C35*E35</f>
        <v/>
      </c>
    </row>
    <row r="36" ht="28" customHeight="1">
      <c r="A36" s="17" t="inlineStr">
        <is>
          <t>7.5</t>
        </is>
      </c>
      <c r="B36" s="18" t="inlineStr">
        <is>
          <t>Torneiras e acessórios de lavatório</t>
        </is>
      </c>
      <c r="C36" s="17" t="n">
        <v>2</v>
      </c>
      <c r="D36" s="17" t="inlineStr">
        <is>
          <t>un</t>
        </is>
      </c>
      <c r="E36" s="19" t="n">
        <v>150</v>
      </c>
      <c r="F36" s="19">
        <f>C36*E36</f>
        <v/>
      </c>
    </row>
    <row r="37" ht="28" customHeight="1">
      <c r="A37" s="17" t="inlineStr">
        <is>
          <t>7.6</t>
        </is>
      </c>
      <c r="B37" s="18" t="inlineStr">
        <is>
          <t>Monocomando de duche</t>
        </is>
      </c>
      <c r="C37" s="17" t="n">
        <v>2</v>
      </c>
      <c r="D37" s="17" t="inlineStr">
        <is>
          <t>un</t>
        </is>
      </c>
      <c r="E37" s="19" t="n">
        <v>160</v>
      </c>
      <c r="F37" s="19">
        <f>C37*E37</f>
        <v/>
      </c>
    </row>
    <row r="38" ht="28" customHeight="1">
      <c r="A38" s="17" t="inlineStr">
        <is>
          <t>7.7</t>
        </is>
      </c>
      <c r="B38" s="18" t="inlineStr">
        <is>
          <t>Resguardo de duche WC1 (1,40 x 2,20 m)</t>
        </is>
      </c>
      <c r="C38" s="17" t="n">
        <v>1</v>
      </c>
      <c r="D38" s="17" t="inlineStr">
        <is>
          <t>un</t>
        </is>
      </c>
      <c r="E38" s="19" t="n">
        <v>450</v>
      </c>
      <c r="F38" s="19">
        <f>C38*E38</f>
        <v/>
      </c>
    </row>
    <row r="39" ht="28" customHeight="1">
      <c r="A39" s="17" t="inlineStr">
        <is>
          <t>7.8</t>
        </is>
      </c>
      <c r="B39" s="18" t="inlineStr">
        <is>
          <t>Resguardo de duche WC2 (1,00 x 2,20 m)</t>
        </is>
      </c>
      <c r="C39" s="17" t="n">
        <v>1</v>
      </c>
      <c r="D39" s="17" t="inlineStr">
        <is>
          <t>un</t>
        </is>
      </c>
      <c r="E39" s="19" t="n">
        <v>400</v>
      </c>
      <c r="F39" s="19">
        <f>C39*E39</f>
        <v/>
      </c>
    </row>
    <row r="40" ht="20" customHeight="1">
      <c r="A40" s="13" t="inlineStr">
        <is>
          <t>8. PINTURA</t>
        </is>
      </c>
      <c r="B40" s="14" t="n"/>
      <c r="C40" s="14" t="n"/>
      <c r="D40" s="14" t="n"/>
      <c r="E40" s="15" t="inlineStr">
        <is>
          <t>Subtotal</t>
        </is>
      </c>
      <c r="F40" s="16">
        <f>SUM(F41:F41)</f>
        <v/>
      </c>
    </row>
    <row r="41" ht="28" customHeight="1">
      <c r="A41" s="17" t="inlineStr">
        <is>
          <t>8.1</t>
        </is>
      </c>
      <c r="B41" s="18" t="inlineStr">
        <is>
          <t>Aplicação de primário + pintura final (paredes e tetos)</t>
        </is>
      </c>
      <c r="C41" s="17" t="n">
        <v>350</v>
      </c>
      <c r="D41" s="17" t="inlineStr">
        <is>
          <t>m²</t>
        </is>
      </c>
      <c r="E41" s="19" t="n">
        <v>8</v>
      </c>
      <c r="F41" s="19">
        <f>C41*E41</f>
        <v/>
      </c>
    </row>
    <row r="42" ht="20" customHeight="1">
      <c r="A42" s="13" t="inlineStr">
        <is>
          <t>9. ARMÁRIOS E MÓVEIS POR MEDIDA</t>
        </is>
      </c>
      <c r="B42" s="14" t="n"/>
      <c r="C42" s="14" t="n"/>
      <c r="D42" s="14" t="n"/>
      <c r="E42" s="15" t="inlineStr">
        <is>
          <t>Subtotal</t>
        </is>
      </c>
      <c r="F42" s="16">
        <f>SUM(F43:F45)</f>
        <v/>
      </c>
    </row>
    <row r="43" ht="28" customHeight="1">
      <c r="A43" s="17" t="inlineStr">
        <is>
          <t>9.1</t>
        </is>
      </c>
      <c r="B43" s="18" t="inlineStr">
        <is>
          <t>Roupeiros por medida lacados branco (11 ml x 2,20 m) + ferragens e acessórios</t>
        </is>
      </c>
      <c r="C43" s="17" t="n">
        <v>11</v>
      </c>
      <c r="D43" s="17" t="inlineStr">
        <is>
          <t>ml</t>
        </is>
      </c>
      <c r="E43" s="19" t="n">
        <v>420</v>
      </c>
      <c r="F43" s="19">
        <f>C43*E43</f>
        <v/>
      </c>
    </row>
    <row r="44" ht="28" customHeight="1">
      <c r="A44" s="17" t="inlineStr">
        <is>
          <t>9.2</t>
        </is>
      </c>
      <c r="B44" s="18" t="inlineStr">
        <is>
          <t>Móvel WC1 (0,90 x 0,40 x 0,40 m)</t>
        </is>
      </c>
      <c r="C44" s="17" t="n">
        <v>1</v>
      </c>
      <c r="D44" s="17" t="inlineStr">
        <is>
          <t>un</t>
        </is>
      </c>
      <c r="E44" s="19" t="n">
        <v>350</v>
      </c>
      <c r="F44" s="19">
        <f>C44*E44</f>
        <v/>
      </c>
    </row>
    <row r="45" ht="28" customHeight="1">
      <c r="A45" s="17" t="inlineStr">
        <is>
          <t>9.3</t>
        </is>
      </c>
      <c r="B45" s="18" t="inlineStr">
        <is>
          <t>Móvel WC2 — reabilitação do existente</t>
        </is>
      </c>
      <c r="C45" s="17" t="n">
        <v>1</v>
      </c>
      <c r="D45" s="17" t="inlineStr">
        <is>
          <t>vg</t>
        </is>
      </c>
      <c r="E45" s="19" t="n">
        <v>150</v>
      </c>
      <c r="F45" s="19">
        <f>C45*E45</f>
        <v/>
      </c>
    </row>
    <row r="46" ht="20" customHeight="1">
      <c r="A46" s="13" t="inlineStr">
        <is>
          <t>10. INSTALAÇÃO ELÉTRICA E ILUMINAÇÃO</t>
        </is>
      </c>
      <c r="B46" s="14" t="n"/>
      <c r="C46" s="14" t="n"/>
      <c r="D46" s="14" t="n"/>
      <c r="E46" s="15" t="inlineStr">
        <is>
          <t>Subtotal</t>
        </is>
      </c>
      <c r="F46" s="16">
        <f>SUM(F47:F48)</f>
        <v/>
      </c>
    </row>
    <row r="47" ht="28" customHeight="1">
      <c r="A47" s="17" t="inlineStr">
        <is>
          <t>10.1</t>
        </is>
      </c>
      <c r="B47" s="18" t="inlineStr">
        <is>
          <t>Nova instalação de iluminação (spots LED, sancas, pontos de luz) — estimativa</t>
        </is>
      </c>
      <c r="C47" s="17" t="n">
        <v>1</v>
      </c>
      <c r="D47" s="17" t="inlineStr">
        <is>
          <t>vg</t>
        </is>
      </c>
      <c r="E47" s="19" t="n">
        <v>2800</v>
      </c>
      <c r="F47" s="19">
        <f>C47*E47</f>
        <v/>
      </c>
    </row>
    <row r="48" ht="28" customHeight="1">
      <c r="A48" s="17" t="inlineStr">
        <is>
          <t>10.2</t>
        </is>
      </c>
      <c r="B48" s="18" t="inlineStr">
        <is>
          <t>Substituição de tomadas e interruptores existentes — estimativa</t>
        </is>
      </c>
      <c r="C48" s="17" t="n">
        <v>1</v>
      </c>
      <c r="D48" s="17" t="inlineStr">
        <is>
          <t>vg</t>
        </is>
      </c>
      <c r="E48" s="19" t="n">
        <v>1200</v>
      </c>
      <c r="F48" s="19">
        <f>C48*E48</f>
        <v/>
      </c>
    </row>
    <row r="49" ht="20" customHeight="1">
      <c r="A49" s="13" t="inlineStr">
        <is>
          <t>11. CARPINTARIA</t>
        </is>
      </c>
      <c r="B49" s="14" t="n"/>
      <c r="C49" s="14" t="n"/>
      <c r="D49" s="14" t="n"/>
      <c r="E49" s="15" t="inlineStr">
        <is>
          <t>Subtotal</t>
        </is>
      </c>
      <c r="F49" s="16">
        <f>SUM(F50:F50)</f>
        <v/>
      </c>
    </row>
    <row r="50" ht="28" customHeight="1">
      <c r="A50" s="17" t="inlineStr">
        <is>
          <t>11.1</t>
        </is>
      </c>
      <c r="B50" s="18" t="inlineStr">
        <is>
          <t>Rodapé lacado branco/bege, 7 cm — fornecimento, aplicação e pintura</t>
        </is>
      </c>
      <c r="C50" s="17" t="n">
        <v>300</v>
      </c>
      <c r="D50" s="17" t="inlineStr">
        <is>
          <t>ml</t>
        </is>
      </c>
      <c r="E50" s="19" t="n">
        <v>12</v>
      </c>
      <c r="F50" s="19">
        <f>C50*E50</f>
        <v/>
      </c>
    </row>
    <row r="51" ht="20" customHeight="1">
      <c r="A51" s="13" t="inlineStr">
        <is>
          <t>12. SERRALHARIA</t>
        </is>
      </c>
      <c r="B51" s="14" t="n"/>
      <c r="C51" s="14" t="n"/>
      <c r="D51" s="14" t="n"/>
      <c r="E51" s="15" t="inlineStr">
        <is>
          <t>Subtotal</t>
        </is>
      </c>
      <c r="F51" s="16">
        <f>SUM(F52:F52)</f>
        <v/>
      </c>
    </row>
    <row r="52" ht="28" customHeight="1">
      <c r="A52" s="17" t="inlineStr">
        <is>
          <t>12.1</t>
        </is>
      </c>
      <c r="B52" s="18" t="inlineStr">
        <is>
          <t>Divisória em alumínio lacado preto, 4 vãos (2 fixos + 2 correr) + vidro simples (4,20 x 2,20) — hall</t>
        </is>
      </c>
      <c r="C52" s="17" t="n">
        <v>9.24</v>
      </c>
      <c r="D52" s="17" t="inlineStr">
        <is>
          <t>m²</t>
        </is>
      </c>
      <c r="E52" s="19" t="n">
        <v>380</v>
      </c>
      <c r="F52" s="19">
        <f>C52*E52</f>
        <v/>
      </c>
    </row>
    <row r="54" ht="26" customHeight="1">
      <c r="A54" s="20" t="inlineStr">
        <is>
          <t>VALOR GLOBAL LÍQUIDO DA OBRA (custo direto)</t>
        </is>
      </c>
      <c r="B54" s="7" t="n"/>
      <c r="C54" s="7" t="n"/>
      <c r="D54" s="7" t="n"/>
      <c r="E54" s="7" t="n"/>
      <c r="F54" s="21">
        <f>F6+F12+F16+F20+F23+F27+F31+F40+F42+F46+F49+F51</f>
        <v/>
      </c>
    </row>
    <row r="55">
      <c r="A55" s="22" t="inlineStr">
        <is>
          <t>Imprevistos / Contingências</t>
        </is>
      </c>
      <c r="B55" s="23" t="n"/>
      <c r="C55" s="23" t="n"/>
      <c r="D55" s="23" t="n"/>
      <c r="E55" s="24" t="n">
        <v>0.05</v>
      </c>
      <c r="F55" s="6">
        <f>F54*E55</f>
        <v/>
      </c>
    </row>
    <row r="56">
      <c r="A56" s="22" t="inlineStr">
        <is>
          <t>Margem (lucro + encargos de estrutura)</t>
        </is>
      </c>
      <c r="B56" s="23" t="n"/>
      <c r="C56" s="23" t="n"/>
      <c r="D56" s="23" t="n"/>
      <c r="E56" s="24" t="n">
        <v>0.15</v>
      </c>
      <c r="F56" s="6">
        <f>F54*E56</f>
        <v/>
      </c>
    </row>
    <row r="57" ht="26" customHeight="1">
      <c r="A57" s="25" t="inlineStr">
        <is>
          <t>SUBTOTAL (sem IVA)</t>
        </is>
      </c>
      <c r="B57" s="26" t="n"/>
      <c r="C57" s="26" t="n"/>
      <c r="D57" s="26" t="n"/>
      <c r="E57" s="26" t="n"/>
      <c r="F57" s="27">
        <f>F54+F55+F56</f>
        <v/>
      </c>
    </row>
    <row r="58">
      <c r="A58" s="22" t="inlineStr">
        <is>
          <t>IVA (6% reabilitação habitação / 23% normal — ajustar)</t>
        </is>
      </c>
      <c r="B58" s="23" t="n"/>
      <c r="C58" s="23" t="n"/>
      <c r="D58" s="23" t="n"/>
      <c r="E58" s="24" t="n">
        <v>0.23</v>
      </c>
      <c r="F58" s="6">
        <f>F57*E58</f>
        <v/>
      </c>
    </row>
    <row r="59" ht="26" customHeight="1">
      <c r="A59" s="28" t="inlineStr">
        <is>
          <t>TOTAL GERAL (com IVA)</t>
        </is>
      </c>
      <c r="B59" s="7" t="n"/>
      <c r="C59" s="7" t="n"/>
      <c r="D59" s="7" t="n"/>
      <c r="E59" s="7" t="n"/>
      <c r="F59" s="29">
        <f>F57+F58</f>
        <v/>
      </c>
    </row>
    <row r="61" ht="60" customHeight="1">
      <c r="A61" s="30" t="inlineStr">
        <is>
          <t>Notas: (1) As percentagens de imprevistos, margem e IVA são editáveis (células a teal) — recalculam automaticamente. (2) Margem e imprevistos aplicados apenas sobre o Valor Global Líquido, conforme solicitado. (3) Trabalhos não contemplados no MTQ estão listados na folha «Erros, Omissões e Melhorias» e NÃO estão incluídos neste total. (4) Preços unitários de referência de mercado (Braga, 2025/26), a confirmar com fornecedores; medições a confirmar em obra.</t>
        </is>
      </c>
    </row>
  </sheetData>
  <mergeCells count="22">
    <mergeCell ref="A23:D23"/>
    <mergeCell ref="A59:E59"/>
    <mergeCell ref="A20:D20"/>
    <mergeCell ref="A3:F3"/>
    <mergeCell ref="A2:F2"/>
    <mergeCell ref="A40:D40"/>
    <mergeCell ref="A31:D31"/>
    <mergeCell ref="A58:D58"/>
    <mergeCell ref="A54:E54"/>
    <mergeCell ref="A51:D51"/>
    <mergeCell ref="A49:D49"/>
    <mergeCell ref="A57:E57"/>
    <mergeCell ref="A6:D6"/>
    <mergeCell ref="A16:D16"/>
    <mergeCell ref="A46:D46"/>
    <mergeCell ref="A56:D56"/>
    <mergeCell ref="A27:D27"/>
    <mergeCell ref="A12:D12"/>
    <mergeCell ref="A1:F1"/>
    <mergeCell ref="A55:D55"/>
    <mergeCell ref="A61:F61"/>
    <mergeCell ref="A42:D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56" customWidth="1" min="3" max="3"/>
    <col width="18" customWidth="1" min="4" max="4"/>
  </cols>
  <sheetData>
    <row r="1" ht="26" customHeight="1">
      <c r="A1" s="31" t="inlineStr">
        <is>
          <t>ERROS, OMISSÕES E MELHORIAS PROPOSTAS</t>
        </is>
      </c>
    </row>
    <row r="2">
      <c r="A2" s="32" t="inlineStr">
        <is>
          <t>Análise técnica do Mapa de Quantidades — Apartamento Contestável</t>
        </is>
      </c>
    </row>
    <row r="4" ht="22" customHeight="1">
      <c r="A4" s="33" t="inlineStr">
        <is>
          <t>A. ERROS E INCOERÊNCIAS DETETADAS NO MAPA DE QUANTIDADES</t>
        </is>
      </c>
      <c r="B4" s="14" t="n"/>
      <c r="C4" s="14" t="n"/>
      <c r="D4" s="14" t="n"/>
    </row>
    <row r="5" ht="18" customHeight="1">
      <c r="A5" s="34" t="inlineStr">
        <is>
          <t>#</t>
        </is>
      </c>
      <c r="B5" s="34" t="inlineStr">
        <is>
          <t>Ponto detetado</t>
        </is>
      </c>
      <c r="C5" s="34" t="inlineStr">
        <is>
          <t>Solução proposta</t>
        </is>
      </c>
      <c r="D5" s="34" t="inlineStr"/>
    </row>
    <row r="6" ht="56" customHeight="1">
      <c r="A6" s="35" t="inlineStr">
        <is>
          <t>A1</t>
        </is>
      </c>
      <c r="B6" s="36" t="inlineStr">
        <is>
          <t>Numeração duplicada/errada: o capítulo PINTURA está numerado «7.1» (repete as IS) e a SERRALHARIA «11.1» (repete a CARPINTARIA).</t>
        </is>
      </c>
      <c r="C6" s="36" t="inlineStr">
        <is>
          <t>Renumerar de forma sequencial (PINTURA=8, ARMÁRIOS=9, ILUMINAÇÃO=10, CARPINTARIA=11, SERRALHARIA=12). Já corrigido na folha «Orçamento».</t>
        </is>
      </c>
    </row>
    <row r="7" ht="56" customHeight="1">
      <c r="A7" s="35" t="inlineStr">
        <is>
          <t>A2</t>
        </is>
      </c>
      <c r="B7" s="36" t="inlineStr">
        <is>
          <t>Itens sem quantidade nem preço: 9.1/9.2 Iluminação e tomadas (qtd «-») e 8.3 Móvel WC2 sem medição.</t>
        </is>
      </c>
      <c r="C7" s="36" t="inlineStr">
        <is>
          <t>Quantificar. No orçamento foram assumidos valores a forfait (vg) — a confirmar com medição/projeto de eletricidade.</t>
        </is>
      </c>
    </row>
    <row r="8" ht="42" customHeight="1">
      <c r="A8" s="35" t="inlineStr">
        <is>
          <t>A3</t>
        </is>
      </c>
      <c r="B8" s="36" t="inlineStr">
        <is>
          <t>Resguardo de duche desproporcional à base: WC1 tem base 0,70×0,70 m mas resguardo 1,40×2,20 m.</t>
        </is>
      </c>
      <c r="C8" s="36" t="inlineStr">
        <is>
          <t>Confirmar dimensão real do vão de duche; provável erro de cota da base ou do resguardo. Rever em obra.</t>
        </is>
      </c>
    </row>
    <row r="9" ht="56" customHeight="1">
      <c r="A9" s="35" t="inlineStr">
        <is>
          <t>A4</t>
        </is>
      </c>
      <c r="B9" s="36" t="inlineStr">
        <is>
          <t>Microcimento aparece em «Pavimentos» (3.2, 10 m²) e «Revestimentos» (4.1, 50 m²) — risco de dupla contagem se descrição não distinguir piso/parede.</t>
        </is>
      </c>
      <c r="C9" s="36" t="inlineStr">
        <is>
          <t>Manter separado (piso vs. parede) com referência clara; foi assim tratado no orçamento.</t>
        </is>
      </c>
    </row>
    <row r="10" ht="70" customHeight="1">
      <c r="A10" s="35" t="inlineStr">
        <is>
          <t>A5</t>
        </is>
      </c>
      <c r="B10" s="36" t="inlineStr">
        <is>
          <t>Incoerência de pé-direito entre plantas: estado atual PD 2,64–2,71 m; proposta 2,35–2,60 m (rebaixamento por teto falso) — sem mapa de áreas que confirme os 100 m² de teto.</t>
        </is>
      </c>
      <c r="C10" s="36" t="inlineStr">
        <is>
          <t>Validar áreas de teto vs. área útil (~110 m²); confirmar se 100 m² de estrutura cobrem toda a área ou só zonas com sanca.</t>
        </is>
      </c>
    </row>
    <row r="11" ht="56" customHeight="1">
      <c r="A11" s="35" t="inlineStr">
        <is>
          <t>A6</t>
        </is>
      </c>
      <c r="B11" s="36" t="inlineStr">
        <is>
          <t>Pavimento: demolição e autonivelante medidos a 100 m², mas revestimentos somam 85+10+5 = 100 m² — sem folga para áreas de armários/cozinha.</t>
        </is>
      </c>
      <c r="C11" s="36" t="inlineStr">
        <is>
          <t>Confirmar se pavimento sob roupeiros/cozinha é ou não revestido (poupança possível); ajustar medição.</t>
        </is>
      </c>
    </row>
    <row r="12" ht="42" customHeight="1">
      <c r="A12" s="35" t="inlineStr">
        <is>
          <t>A7</t>
        </is>
      </c>
      <c r="B12" s="36" t="inlineStr">
        <is>
          <t>Quantidade de pintura (350 m²) não tem mapa de cálculo de paredes+tetos que a suporte.</t>
        </is>
      </c>
      <c r="C12" s="36" t="inlineStr">
        <is>
          <t>Anexar medição de paredes e tetos; 350 m² parece coerente para ~110 m² úteis, mas deve ser justificado.</t>
        </is>
      </c>
    </row>
    <row r="14" ht="22" customHeight="1">
      <c r="A14" s="33" t="inlineStr">
        <is>
          <t>B. OMISSÕES — TRABALHOS NÃO CONTEMPLADOS NO MTQ (provisão estimada)</t>
        </is>
      </c>
      <c r="B14" s="14" t="n"/>
      <c r="C14" s="14" t="n"/>
      <c r="D14" s="14" t="n"/>
    </row>
    <row r="15" ht="18" customHeight="1">
      <c r="A15" s="34" t="inlineStr">
        <is>
          <t>#</t>
        </is>
      </c>
      <c r="B15" s="34" t="inlineStr">
        <is>
          <t>Trabalho em falta</t>
        </is>
      </c>
      <c r="C15" s="34" t="inlineStr">
        <is>
          <t>Observação</t>
        </is>
      </c>
      <c r="D15" s="34" t="inlineStr">
        <is>
          <t>Estim. (s/IVA)</t>
        </is>
      </c>
    </row>
    <row r="16" ht="28" customHeight="1">
      <c r="A16" s="35" t="inlineStr">
        <is>
          <t>B1</t>
        </is>
      </c>
      <c r="B16" s="36" t="inlineStr">
        <is>
          <t>Estaleiro, montagem/desmontagem e instalações provisórias de obra</t>
        </is>
      </c>
      <c r="C16" s="36" t="inlineStr">
        <is>
          <t>Obrigatório; não consta do MTQ.</t>
        </is>
      </c>
      <c r="D16" s="37" t="n">
        <v>1500</v>
      </c>
    </row>
    <row r="17" ht="42" customHeight="1">
      <c r="A17" s="35" t="inlineStr">
        <is>
          <t>B2</t>
        </is>
      </c>
      <c r="B17" s="36" t="inlineStr">
        <is>
          <t>Proteções de zonas comuns + meio de elevação (8.º piso: monta-cargas/elevador de obra)</t>
        </is>
      </c>
      <c r="C17" s="36" t="inlineStr">
        <is>
          <t>Crítico por ser 8.º andar — impacto logístico relevante.</t>
        </is>
      </c>
      <c r="D17" s="37" t="n">
        <v>2200</v>
      </c>
    </row>
    <row r="18" ht="42" customHeight="1">
      <c r="A18" s="35" t="inlineStr">
        <is>
          <t>B3</t>
        </is>
      </c>
      <c r="B18" s="36" t="inlineStr">
        <is>
          <t>Transporte de entulho a vazadouro autorizado + taxas de deposição (RCD) e guias eletrónicas</t>
        </is>
      </c>
      <c r="C18" s="36" t="inlineStr">
        <is>
          <t>MTQ só refere «remoção»; falta transporte/taxas legais.</t>
        </is>
      </c>
      <c r="D18" s="37" t="n">
        <v>1200</v>
      </c>
    </row>
    <row r="19" ht="28" customHeight="1">
      <c r="A19" s="35" t="inlineStr">
        <is>
          <t>B4</t>
        </is>
      </c>
      <c r="B19" s="36" t="inlineStr">
        <is>
          <t>Limpeza final de obra</t>
        </is>
      </c>
      <c r="C19" s="36" t="inlineStr">
        <is>
          <t>Não previsto.</t>
        </is>
      </c>
      <c r="D19" s="37" t="n">
        <v>600</v>
      </c>
    </row>
    <row r="20" ht="28" customHeight="1">
      <c r="A20" s="35" t="inlineStr">
        <is>
          <t>B5</t>
        </is>
      </c>
      <c r="B20" s="36" t="inlineStr">
        <is>
          <t>Remodelação da rede de águas e esgotos (2 IS + cozinha + lavandaria)</t>
        </is>
      </c>
      <c r="C20" s="36" t="inlineStr">
        <is>
          <t>MTQ só tem louças; falta tubagem/ramais.</t>
        </is>
      </c>
      <c r="D20" s="37" t="n">
        <v>3500</v>
      </c>
    </row>
    <row r="21" ht="28" customHeight="1">
      <c r="A21" s="35" t="inlineStr">
        <is>
          <t>B6</t>
        </is>
      </c>
      <c r="B21" s="36" t="inlineStr">
        <is>
          <t>Instalação elétrica completa: quadro novo, circuitos, certificação CERTIEL</t>
        </is>
      </c>
      <c r="C21" s="36" t="inlineStr">
        <is>
          <t>MTQ só refere tomadas/iluminação; falta infraestrutura e legalização.</t>
        </is>
      </c>
      <c r="D21" s="37" t="n">
        <v>3000</v>
      </c>
    </row>
    <row r="22" ht="28" customHeight="1">
      <c r="A22" s="35" t="inlineStr">
        <is>
          <t>B7</t>
        </is>
      </c>
      <c r="B22" s="36" t="inlineStr">
        <is>
          <t>Ventilação/exaustão mecânica de IS e cozinha</t>
        </is>
      </c>
      <c r="C22" s="36" t="inlineStr">
        <is>
          <t>Obrigatório (RGEU/ventilação); não previsto.</t>
        </is>
      </c>
      <c r="D22" s="37" t="n">
        <v>1200</v>
      </c>
    </row>
    <row r="23" ht="28" customHeight="1">
      <c r="A23" s="35" t="inlineStr">
        <is>
          <t>B8</t>
        </is>
      </c>
      <c r="B23" s="36" t="inlineStr">
        <is>
          <t>Impermeabilização das zonas húmidas (bases de duche e pavimentos de IS)</t>
        </is>
      </c>
      <c r="C23" s="36" t="inlineStr">
        <is>
          <t>Essencial antes de microcimento; não previsto.</t>
        </is>
      </c>
      <c r="D23" s="37" t="n">
        <v>800</v>
      </c>
    </row>
    <row r="24" ht="28" customHeight="1">
      <c r="A24" s="35" t="inlineStr">
        <is>
          <t>B9</t>
        </is>
      </c>
      <c r="B24" s="36" t="inlineStr">
        <is>
          <t>Pré-instalação de climatização (AVAC / multi-split)</t>
        </is>
      </c>
      <c r="C24" s="36" t="inlineStr">
        <is>
          <t>Não previsto; recomendável definir antes dos tetos falsos.</t>
        </is>
      </c>
      <c r="D24" s="37" t="n">
        <v>3500</v>
      </c>
    </row>
    <row r="25" ht="28" customHeight="1">
      <c r="A25" s="35" t="inlineStr">
        <is>
          <t>B10</t>
        </is>
      </c>
      <c r="B25" s="36" t="inlineStr">
        <is>
          <t>Lava-loiça, torneira de cozinha e pré-instalação de eletrodomésticos</t>
        </is>
      </c>
      <c r="C25" s="36" t="inlineStr">
        <is>
          <t>Cozinha sem loiça/ligações no MTQ.</t>
        </is>
      </c>
      <c r="D25" s="37" t="n">
        <v>900</v>
      </c>
    </row>
    <row r="26" ht="28" customHeight="1">
      <c r="A26" s="35" t="inlineStr">
        <is>
          <t>B11</t>
        </is>
      </c>
      <c r="B26" s="36" t="inlineStr">
        <is>
          <t>Soleiras, peitoris e remates de vãos</t>
        </is>
      </c>
      <c r="C26" s="36" t="inlineStr">
        <is>
          <t>Não previsto.</t>
        </is>
      </c>
      <c r="D26" s="37" t="n">
        <v>600</v>
      </c>
    </row>
    <row r="27" ht="42" customHeight="1">
      <c r="A27" s="35" t="inlineStr">
        <is>
          <t>B12</t>
        </is>
      </c>
      <c r="B27" s="36" t="inlineStr">
        <is>
          <t>Projeto de especialidades, telas finais, livro de obra e coordenação de segurança (CSO)</t>
        </is>
      </c>
      <c r="C27" s="36" t="inlineStr">
        <is>
          <t>Necessário se houver alteração de redes/comunicação à CM.</t>
        </is>
      </c>
      <c r="D27" s="37" t="n">
        <v>2500</v>
      </c>
    </row>
    <row r="28" ht="28" customHeight="1">
      <c r="A28" s="35" t="inlineStr">
        <is>
          <t>B13</t>
        </is>
      </c>
      <c r="B28" s="36" t="inlineStr">
        <is>
          <t>Caixilharia exterior / vidros e tratamento da varanda</t>
        </is>
      </c>
      <c r="C28" s="36" t="inlineStr">
        <is>
          <t>Não consta — confirmar se há intervenção.</t>
        </is>
      </c>
      <c r="D28" s="37" t="n">
        <v>0</v>
      </c>
    </row>
    <row r="29" ht="28" customHeight="1">
      <c r="A29" s="35" t="inlineStr">
        <is>
          <t>B14</t>
        </is>
      </c>
      <c r="B29" s="36" t="inlineStr">
        <is>
          <t>Eletrodomésticos (placa, forno, exaustor, frigorífico, máquinas)</t>
        </is>
      </c>
      <c r="C29" s="36" t="inlineStr">
        <is>
          <t>Opcional — a cargo do cliente?</t>
        </is>
      </c>
      <c r="D29" s="37" t="n">
        <v>0</v>
      </c>
    </row>
    <row r="30" ht="24" customHeight="1">
      <c r="A30" s="38" t="inlineStr">
        <is>
          <t>TOTAL PROVISÃO PARA OMISSÕES (a validar — não incluído no orçamento base)</t>
        </is>
      </c>
      <c r="B30" s="39" t="n"/>
      <c r="C30" s="39" t="n"/>
      <c r="D30" s="40">
        <f>SUM(D16:D29)</f>
        <v/>
      </c>
    </row>
    <row r="32" ht="22" customHeight="1">
      <c r="A32" s="33" t="inlineStr">
        <is>
          <t>C. SUGESTÕES E MELHORIAS</t>
        </is>
      </c>
      <c r="B32" s="14" t="n"/>
      <c r="C32" s="14" t="n"/>
      <c r="D32" s="14" t="n"/>
    </row>
    <row r="33" ht="18" customHeight="1">
      <c r="A33" s="34" t="inlineStr">
        <is>
          <t>#</t>
        </is>
      </c>
      <c r="B33" s="34" t="inlineStr">
        <is>
          <t>Sugestão</t>
        </is>
      </c>
      <c r="C33" s="34" t="inlineStr">
        <is>
          <t>Benefício</t>
        </is>
      </c>
      <c r="D33" s="34" t="inlineStr"/>
    </row>
    <row r="34" ht="42" customHeight="1">
      <c r="A34" s="35" t="inlineStr">
        <is>
          <t>C1</t>
        </is>
      </c>
      <c r="B34" s="36" t="inlineStr">
        <is>
          <t>Definir já os acabamentos «a definir» (cerâmico 3.3, eletrodomésticos, loiças sanitárias modelo/marca)</t>
        </is>
      </c>
      <c r="C34" s="36" t="inlineStr">
        <is>
          <t>Evita erros e omissões e revisões de preço a meio da obra.</t>
        </is>
      </c>
    </row>
    <row r="35" ht="42" customHeight="1">
      <c r="A35" s="35" t="inlineStr">
        <is>
          <t>C2</t>
        </is>
      </c>
      <c r="B35" s="36" t="inlineStr">
        <is>
          <t>Optar por IVA reduzido a 6% (empreitada de reabilitação de habitação) em vez de 23%</t>
        </is>
      </c>
      <c r="C35" s="36" t="inlineStr">
        <is>
          <t>Poupança fiscal significativa (cumprindo requisitos legais do CIVA).</t>
        </is>
      </c>
    </row>
    <row r="36" ht="42" customHeight="1">
      <c r="A36" s="35" t="inlineStr">
        <is>
          <t>C3</t>
        </is>
      </c>
      <c r="B36" s="36" t="inlineStr">
        <is>
          <t>Incluir pré-instalação de climatização e cablagem de domótica/AV antes de fechar tetos falsos</t>
        </is>
      </c>
      <c r="C36" s="36" t="inlineStr">
        <is>
          <t>Muito mais barato agora do que abrir tetos no futuro.</t>
        </is>
      </c>
    </row>
    <row r="37" ht="42" customHeight="1">
      <c r="A37" s="35" t="inlineStr">
        <is>
          <t>C4</t>
        </is>
      </c>
      <c r="B37" s="36" t="inlineStr">
        <is>
          <t>Substituir vidro simples da divisória do hall por vidro duplo/laminado acústico</t>
        </is>
      </c>
      <c r="C37" s="36" t="inlineStr">
        <is>
          <t>Conforto acústico e segurança; pequeno acréscimo de custo.</t>
        </is>
      </c>
    </row>
    <row r="38" ht="42" customHeight="1">
      <c r="A38" s="35" t="inlineStr">
        <is>
          <t>C5</t>
        </is>
      </c>
      <c r="B38" s="36" t="inlineStr">
        <is>
          <t>Prever iluminação em circuitos/cenas (dimável) e ponto de carregamento USB nas IS/quartos</t>
        </is>
      </c>
      <c r="C38" s="36" t="inlineStr">
        <is>
          <t>Valoriza o imóvel com custo marginal baixo.</t>
        </is>
      </c>
    </row>
    <row r="39" ht="42" customHeight="1">
      <c r="A39" s="35" t="inlineStr">
        <is>
          <t>C6</t>
        </is>
      </c>
      <c r="B39" s="36" t="inlineStr">
        <is>
          <t>Calendarizar a obra com cronograma (Gantt) e plano de pagamentos por auto de medição</t>
        </is>
      </c>
      <c r="C39" s="36" t="inlineStr">
        <is>
          <t>Controlo de tesouraria e prazos; reduz risco de derrapagem.</t>
        </is>
      </c>
    </row>
    <row r="40" ht="28" customHeight="1">
      <c r="A40" s="35" t="inlineStr">
        <is>
          <t>C7</t>
        </is>
      </c>
      <c r="B40" s="36" t="inlineStr">
        <is>
          <t>Reavaliar revestir o pavimento sob roupeiros/cozinha (não visível)</t>
        </is>
      </c>
      <c r="C40" s="36" t="inlineStr">
        <is>
          <t>Poupança direta em material de pavimento.</t>
        </is>
      </c>
    </row>
    <row r="41" ht="28" customHeight="1">
      <c r="A41" s="35" t="inlineStr">
        <is>
          <t>C8</t>
        </is>
      </c>
      <c r="B41" s="36" t="inlineStr">
        <is>
          <t>Garantir base impermeabilizada + tela sob microcimento nas IS</t>
        </is>
      </c>
      <c r="C41" s="36" t="inlineStr">
        <is>
          <t>Previne patologias por humidade — o ponto fraco do microcimento.</t>
        </is>
      </c>
    </row>
  </sheetData>
  <mergeCells count="21">
    <mergeCell ref="C34:D34"/>
    <mergeCell ref="C6:D6"/>
    <mergeCell ref="A4:D4"/>
    <mergeCell ref="C35:D35"/>
    <mergeCell ref="C10:D10"/>
    <mergeCell ref="C41:D41"/>
    <mergeCell ref="C40:D40"/>
    <mergeCell ref="C9:D9"/>
    <mergeCell ref="A1:D1"/>
    <mergeCell ref="C12:D12"/>
    <mergeCell ref="C11:D11"/>
    <mergeCell ref="C36:D36"/>
    <mergeCell ref="A30:C30"/>
    <mergeCell ref="C39:D39"/>
    <mergeCell ref="C8:D8"/>
    <mergeCell ref="C7:D7"/>
    <mergeCell ref="C38:D38"/>
    <mergeCell ref="C37:D37"/>
    <mergeCell ref="A2:D2"/>
    <mergeCell ref="A32:D3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2026-06-26T23:48:23Z</dcterms:created>
  <dcterms:modified xsi:type="dcterms:W3CDTF">2026-06-26T23:48:24Z</dcterms:modified>
</cp:coreProperties>
</file>